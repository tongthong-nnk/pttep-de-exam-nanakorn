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pttep.sharepoint.com/teams/DataEngineer/Shared Documents/General/Data Engineer Exam 2026/Result/"/>
    </mc:Choice>
  </mc:AlternateContent>
  <xr:revisionPtr revIDLastSave="0" documentId="13_ncr:1_{C86A5D40-A573-4CA1-AC9A-8EB86D28AF4F}" xr6:coauthVersionLast="47" xr6:coauthVersionMax="47" xr10:uidLastSave="{00000000-0000-0000-0000-000000000000}"/>
  <bookViews>
    <workbookView xWindow="1520" yWindow="1520" windowWidth="18720" windowHeight="11730" xr2:uid="{1D7565C7-D337-4B05-BFC5-CC6E1048996D}"/>
  </bookViews>
  <sheets>
    <sheet name="Raw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N12" i="1" s="1"/>
  <c r="T12" i="1" s="1"/>
  <c r="J45" i="1" l="1"/>
  <c r="X45" i="1"/>
  <c r="W45" i="1"/>
  <c r="K45" i="1"/>
  <c r="F45" i="1"/>
  <c r="P45" i="1"/>
  <c r="O45" i="1"/>
  <c r="N45" i="1"/>
  <c r="L45" i="1"/>
  <c r="E45" i="1"/>
  <c r="D45" i="1"/>
  <c r="R45" i="1"/>
  <c r="Q45" i="1"/>
  <c r="U45" i="1"/>
  <c r="H45" i="1"/>
  <c r="T45" i="1"/>
  <c r="V45" i="1"/>
  <c r="I45" i="1"/>
  <c r="C45" i="1"/>
  <c r="B45" i="1"/>
</calcChain>
</file>

<file path=xl/sharedStrings.xml><?xml version="1.0" encoding="utf-8"?>
<sst xmlns="http://schemas.openxmlformats.org/spreadsheetml/2006/main" count="68" uniqueCount="45">
  <si>
    <t>Question:</t>
  </si>
  <si>
    <t>This table contains daily operational data from our oil and gas assets, including production wells, pressure transmitters, gas flow sensors, temperature sensors, and injection pumps.</t>
  </si>
  <si>
    <t>Please extract and transform this data into a standardized .csv format suitable for BigQuery data warehouse.</t>
  </si>
  <si>
    <t>Note:</t>
  </si>
  <si>
    <r>
      <t xml:space="preserve">- The final dataset should only contain the nomination value for each daily entry. Calculated aggregate values (like </t>
    </r>
    <r>
      <rPr>
        <b/>
        <sz val="11"/>
        <color theme="1"/>
        <rFont val="Aptos Narrow"/>
        <family val="2"/>
        <scheme val="minor"/>
      </rPr>
      <t>"AVG"</t>
    </r>
    <r>
      <rPr>
        <sz val="11"/>
        <color theme="1"/>
        <rFont val="Aptos Narrow"/>
        <family val="2"/>
        <scheme val="minor"/>
      </rPr>
      <t xml:space="preserve"> rows) must be excluded.</t>
    </r>
  </si>
  <si>
    <r>
      <t xml:space="preserve">- The </t>
    </r>
    <r>
      <rPr>
        <b/>
        <sz val="11"/>
        <color theme="1"/>
        <rFont val="Aptos Narrow"/>
        <family val="2"/>
        <scheme val="minor"/>
      </rPr>
      <t>Reference</t>
    </r>
    <r>
      <rPr>
        <sz val="11"/>
        <color theme="1"/>
        <rFont val="Aptos Narrow"/>
        <family val="2"/>
        <scheme val="minor"/>
      </rPr>
      <t xml:space="preserve"> column, containing engineer remarks, is not part of the required output and should be omitted during processing.</t>
    </r>
  </si>
  <si>
    <t>Columns</t>
  </si>
  <si>
    <t>Type</t>
  </si>
  <si>
    <t>Definition</t>
  </si>
  <si>
    <t>date</t>
  </si>
  <si>
    <t>DATE</t>
  </si>
  <si>
    <t>Represents the specific calendar day for which the operational data was recorded</t>
  </si>
  <si>
    <t>parameter</t>
  </si>
  <si>
    <t>This column specifically captures the date suffix extracted directly from the raw data filename</t>
  </si>
  <si>
    <t>asset</t>
  </si>
  <si>
    <t>STRING</t>
  </si>
  <si>
    <t>Specifies the particular oil and gas asset or equipment from which the data originated</t>
  </si>
  <si>
    <t>nomination</t>
  </si>
  <si>
    <t>FLOAT</t>
  </si>
  <si>
    <t>This refers to the nominated or planned quantity/value for the specific date of each asset</t>
  </si>
  <si>
    <t>load_ts</t>
  </si>
  <si>
    <t>TIMESTAMP</t>
  </si>
  <si>
    <t>A timestamp indicating when this particular data record was loaded into the database (current timestamp)</t>
  </si>
  <si>
    <t>Date</t>
  </si>
  <si>
    <t>Prod_Well_A</t>
  </si>
  <si>
    <t>Pressure_Tx</t>
  </si>
  <si>
    <t>Gas_Flow</t>
  </si>
  <si>
    <t>Temp_Sensor_1</t>
  </si>
  <si>
    <t>Inject_Pump_B</t>
  </si>
  <si>
    <t>Reference</t>
  </si>
  <si>
    <t xml:space="preserve">Prod_Well_A </t>
  </si>
  <si>
    <t>19, 20, 21</t>
  </si>
  <si>
    <t>5, 11</t>
  </si>
  <si>
    <t>21, 22</t>
  </si>
  <si>
    <t>2, 3</t>
  </si>
  <si>
    <t>22, 23, 24, 25</t>
  </si>
  <si>
    <t>25, 27</t>
  </si>
  <si>
    <t>25, 28</t>
  </si>
  <si>
    <t>25, 29</t>
  </si>
  <si>
    <t>25, 30</t>
  </si>
  <si>
    <t>5, 6, 7, 8</t>
  </si>
  <si>
    <t>5, 6, 7, 9</t>
  </si>
  <si>
    <t>5, 9</t>
  </si>
  <si>
    <t>31, 32, 33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</si>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</sst>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CC00FF"/>
      <name val="Tahoma"/>
      <family val="2"/>
    </font>
    <font>
      <sz val="10"/>
      <name val="Tahoma"/>
      <family val="2"/>
    </font>
    <font>
      <sz val="10"/>
      <color rgb="FF00B0F0"/>
      <name val="Tahoma"/>
      <family val="2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33CC33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b/>
      <sz val="11"/>
      <color theme="1"/>
      <name val="Aptos Narrow"/>
      <family val="2"/>
      <scheme val="minor"/>
    </font>
    <font>
      <b/>
      <sz val="10"/>
      <color rgb="FFCC00FF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42">
    <xf numFmtId="0" fontId="0" fillId="0" borderId="0" xfId="0"/>
    <xf numFmtId="17" fontId="1" fillId="3" borderId="1" xfId="0" applyNumberFormat="1" applyFont="1" applyFill="1" applyBorder="1" applyAlignment="1">
      <alignment horizontal="center"/>
    </xf>
    <xf numFmtId="17" fontId="1" fillId="3" borderId="1" xfId="0" quotePrefix="1" applyNumberFormat="1" applyFont="1" applyFill="1" applyBorder="1" applyAlignment="1">
      <alignment horizontal="center" wrapText="1"/>
    </xf>
    <xf numFmtId="17" fontId="1" fillId="3" borderId="1" xfId="0" quotePrefix="1" applyNumberFormat="1" applyFont="1" applyFill="1" applyBorder="1" applyAlignment="1">
      <alignment horizontal="center"/>
    </xf>
    <xf numFmtId="17" fontId="1" fillId="4" borderId="1" xfId="0" applyNumberFormat="1" applyFont="1" applyFill="1" applyBorder="1" applyAlignment="1">
      <alignment horizontal="center"/>
    </xf>
    <xf numFmtId="17" fontId="1" fillId="4" borderId="1" xfId="0" applyNumberFormat="1" applyFont="1" applyFill="1" applyBorder="1" applyAlignment="1">
      <alignment horizontal="center" wrapText="1"/>
    </xf>
    <xf numFmtId="17" fontId="1" fillId="5" borderId="1" xfId="0" quotePrefix="1" applyNumberFormat="1" applyFont="1" applyFill="1" applyBorder="1" applyAlignment="1">
      <alignment horizontal="center"/>
    </xf>
    <xf numFmtId="17" fontId="1" fillId="5" borderId="1" xfId="0" applyNumberFormat="1" applyFont="1" applyFill="1" applyBorder="1" applyAlignment="1">
      <alignment horizontal="center" wrapText="1"/>
    </xf>
    <xf numFmtId="17" fontId="1" fillId="5" borderId="1" xfId="0" applyNumberFormat="1" applyFont="1" applyFill="1" applyBorder="1" applyAlignment="1">
      <alignment horizontal="center"/>
    </xf>
    <xf numFmtId="17" fontId="1" fillId="6" borderId="1" xfId="0" applyNumberFormat="1" applyFont="1" applyFill="1" applyBorder="1" applyAlignment="1">
      <alignment horizontal="center"/>
    </xf>
    <xf numFmtId="17" fontId="1" fillId="6" borderId="1" xfId="0" applyNumberFormat="1" applyFont="1" applyFill="1" applyBorder="1" applyAlignment="1">
      <alignment horizontal="center" wrapText="1"/>
    </xf>
    <xf numFmtId="17" fontId="1" fillId="6" borderId="1" xfId="0" quotePrefix="1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1" fontId="7" fillId="7" borderId="1" xfId="0" applyNumberFormat="1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center" vertical="center"/>
    </xf>
    <xf numFmtId="1" fontId="9" fillId="7" borderId="1" xfId="0" applyNumberFormat="1" applyFont="1" applyFill="1" applyBorder="1" applyAlignment="1">
      <alignment horizontal="center" vertical="center"/>
    </xf>
    <xf numFmtId="1" fontId="8" fillId="7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7" fontId="1" fillId="3" borderId="2" xfId="0" applyNumberFormat="1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4" fontId="12" fillId="0" borderId="1" xfId="0" applyNumberFormat="1" applyFont="1" applyBorder="1" applyAlignment="1">
      <alignment horizontal="center" vertical="center"/>
    </xf>
    <xf numFmtId="0" fontId="11" fillId="0" borderId="0" xfId="0" applyFont="1"/>
    <xf numFmtId="0" fontId="11" fillId="7" borderId="1" xfId="0" applyFont="1" applyFill="1" applyBorder="1"/>
    <xf numFmtId="0" fontId="0" fillId="0" borderId="0" xfId="0" quotePrefix="1"/>
    <xf numFmtId="17" fontId="1" fillId="3" borderId="2" xfId="0" quotePrefix="1" applyNumberFormat="1" applyFont="1" applyFill="1" applyBorder="1" applyAlignment="1">
      <alignment horizontal="center"/>
    </xf>
    <xf numFmtId="17" fontId="1" fillId="3" borderId="1" xfId="0" quotePrefix="1" applyNumberFormat="1" applyFont="1" applyFill="1" applyBorder="1" applyAlignment="1">
      <alignment horizontal="center"/>
    </xf>
    <xf numFmtId="17" fontId="1" fillId="4" borderId="1" xfId="0" quotePrefix="1" applyNumberFormat="1" applyFont="1" applyFill="1" applyBorder="1" applyAlignment="1">
      <alignment horizontal="center"/>
    </xf>
    <xf numFmtId="17" fontId="1" fillId="5" borderId="1" xfId="0" quotePrefix="1" applyNumberFormat="1" applyFont="1" applyFill="1" applyBorder="1" applyAlignment="1">
      <alignment horizontal="center"/>
    </xf>
    <xf numFmtId="17" fontId="1" fillId="6" borderId="1" xfId="0" quotePrefix="1" applyNumberFormat="1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 xr:uid="{9228AD3F-584C-4FBD-9DA6-D47434F3F851}"/>
  </cellStyles>
  <dxfs count="16">
    <dxf>
      <font>
        <color rgb="FF92D050"/>
      </font>
    </dxf>
    <dxf>
      <font>
        <color rgb="FFFF000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EAFF8-F474-45B5-994C-BB9DBD0D3B53}">
  <sheetPr>
    <tabColor theme="5" tint="0.39997558519241921"/>
  </sheetPr>
  <dimension ref="A1:Y45"/>
  <sheetViews>
    <sheetView tabSelected="1" zoomScale="85" zoomScaleNormal="85" workbookViewId="0">
      <selection activeCell="B12" sqref="B12:G12"/>
    </sheetView>
  </sheetViews>
  <sheetFormatPr defaultRowHeight="14.5" x14ac:dyDescent="0.35"/>
  <cols>
    <col min="1" max="1" width="4.81640625" bestFit="1" customWidth="1"/>
    <col min="2" max="2" width="11.54296875" bestFit="1" customWidth="1"/>
    <col min="3" max="3" width="11.1796875" bestFit="1" customWidth="1"/>
    <col min="4" max="4" width="11.453125" customWidth="1"/>
    <col min="5" max="5" width="14.453125" bestFit="1" customWidth="1"/>
    <col min="6" max="6" width="13.453125" bestFit="1" customWidth="1"/>
    <col min="7" max="7" width="9.7265625" bestFit="1" customWidth="1"/>
    <col min="8" max="8" width="11.81640625" bestFit="1" customWidth="1"/>
    <col min="9" max="9" width="11.1796875" bestFit="1" customWidth="1"/>
    <col min="10" max="10" width="9" bestFit="1" customWidth="1"/>
    <col min="11" max="11" width="14.453125" bestFit="1" customWidth="1"/>
    <col min="12" max="12" width="13.453125" bestFit="1" customWidth="1"/>
    <col min="13" max="13" width="9.7265625" bestFit="1" customWidth="1"/>
    <col min="14" max="14" width="11.81640625" bestFit="1" customWidth="1"/>
    <col min="15" max="15" width="11.1796875" bestFit="1" customWidth="1"/>
    <col min="16" max="16" width="9" bestFit="1" customWidth="1"/>
    <col min="17" max="17" width="14.453125" bestFit="1" customWidth="1"/>
    <col min="18" max="18" width="13.453125" bestFit="1" customWidth="1"/>
    <col min="19" max="19" width="9.7265625" bestFit="1" customWidth="1"/>
    <col min="20" max="20" width="11.81640625" bestFit="1" customWidth="1"/>
    <col min="21" max="21" width="11.1796875" bestFit="1" customWidth="1"/>
    <col min="22" max="22" width="9" bestFit="1" customWidth="1"/>
    <col min="23" max="23" width="14.453125" bestFit="1" customWidth="1"/>
    <col min="24" max="24" width="13.453125" bestFit="1" customWidth="1"/>
    <col min="25" max="25" width="12.453125" bestFit="1" customWidth="1"/>
  </cols>
  <sheetData>
    <row r="1" spans="1:25" x14ac:dyDescent="0.35">
      <c r="C1" s="32" t="s">
        <v>0</v>
      </c>
      <c r="D1" t="s">
        <v>1</v>
      </c>
    </row>
    <row r="2" spans="1:25" x14ac:dyDescent="0.35">
      <c r="D2" t="s">
        <v>2</v>
      </c>
    </row>
    <row r="3" spans="1:25" x14ac:dyDescent="0.35">
      <c r="C3" s="32" t="s">
        <v>3</v>
      </c>
      <c r="D3" s="34" t="s">
        <v>4</v>
      </c>
    </row>
    <row r="4" spans="1:25" x14ac:dyDescent="0.35">
      <c r="C4" s="32"/>
      <c r="D4" s="34" t="s">
        <v>5</v>
      </c>
    </row>
    <row r="5" spans="1:25" x14ac:dyDescent="0.35">
      <c r="C5" s="33" t="s">
        <v>6</v>
      </c>
      <c r="D5" s="33" t="s">
        <v>7</v>
      </c>
      <c r="E5" s="40" t="s">
        <v>8</v>
      </c>
      <c r="F5" s="40"/>
      <c r="G5" s="40"/>
      <c r="H5" s="40"/>
      <c r="I5" s="40"/>
      <c r="J5" s="40"/>
      <c r="K5" s="40"/>
    </row>
    <row r="6" spans="1:25" x14ac:dyDescent="0.35">
      <c r="C6" s="25" t="s">
        <v>9</v>
      </c>
      <c r="D6" s="25" t="s">
        <v>10</v>
      </c>
      <c r="E6" s="41" t="s">
        <v>11</v>
      </c>
      <c r="F6" s="41"/>
      <c r="G6" s="41"/>
      <c r="H6" s="41"/>
      <c r="I6" s="41"/>
      <c r="J6" s="41"/>
      <c r="K6" s="41"/>
    </row>
    <row r="7" spans="1:25" x14ac:dyDescent="0.35">
      <c r="C7" s="25" t="s">
        <v>12</v>
      </c>
      <c r="D7" s="25" t="s">
        <v>10</v>
      </c>
      <c r="E7" s="41" t="s">
        <v>13</v>
      </c>
      <c r="F7" s="41"/>
      <c r="G7" s="41"/>
      <c r="H7" s="41"/>
      <c r="I7" s="41"/>
      <c r="J7" s="41"/>
      <c r="K7" s="41"/>
    </row>
    <row r="8" spans="1:25" x14ac:dyDescent="0.35">
      <c r="C8" s="25" t="s">
        <v>14</v>
      </c>
      <c r="D8" s="25" t="s">
        <v>15</v>
      </c>
      <c r="E8" s="41" t="s">
        <v>16</v>
      </c>
      <c r="F8" s="41"/>
      <c r="G8" s="41"/>
      <c r="H8" s="41"/>
      <c r="I8" s="41"/>
      <c r="J8" s="41"/>
      <c r="K8" s="41"/>
    </row>
    <row r="9" spans="1:25" x14ac:dyDescent="0.35">
      <c r="C9" s="25" t="s">
        <v>17</v>
      </c>
      <c r="D9" s="25" t="s">
        <v>18</v>
      </c>
      <c r="E9" s="41" t="s">
        <v>19</v>
      </c>
      <c r="F9" s="41"/>
      <c r="G9" s="41"/>
      <c r="H9" s="41"/>
      <c r="I9" s="41"/>
      <c r="J9" s="41"/>
      <c r="K9" s="41"/>
    </row>
    <row r="10" spans="1:25" x14ac:dyDescent="0.35">
      <c r="C10" s="25" t="s">
        <v>20</v>
      </c>
      <c r="D10" s="25" t="s">
        <v>21</v>
      </c>
      <c r="E10" s="41" t="s">
        <v>22</v>
      </c>
      <c r="F10" s="41"/>
      <c r="G10" s="41"/>
      <c r="H10" s="41"/>
      <c r="I10" s="41"/>
      <c r="J10" s="41"/>
      <c r="K10" s="41"/>
    </row>
    <row r="12" spans="1:25" x14ac:dyDescent="0.35">
      <c r="A12" s="29" t="s">
        <v>23</v>
      </c>
      <c r="B12" s="35">
        <v>45658</v>
      </c>
      <c r="C12" s="36"/>
      <c r="D12" s="36"/>
      <c r="E12" s="36"/>
      <c r="F12" s="36"/>
      <c r="G12" s="36"/>
      <c r="H12" s="37">
        <f>DATE(YEAR(B12),MONTH(B12)+1,DAY(B12))</f>
        <v>45689</v>
      </c>
      <c r="I12" s="37"/>
      <c r="J12" s="37"/>
      <c r="K12" s="37"/>
      <c r="L12" s="37"/>
      <c r="M12" s="37"/>
      <c r="N12" s="38">
        <f>DATE(YEAR(H12),MONTH(H12)+1,DAY(H12))</f>
        <v>45717</v>
      </c>
      <c r="O12" s="38"/>
      <c r="P12" s="38"/>
      <c r="Q12" s="38"/>
      <c r="R12" s="38"/>
      <c r="S12" s="38"/>
      <c r="T12" s="39">
        <f>DATE(YEAR(N12),MONTH(N12)+1,DAY(4))</f>
        <v>45751</v>
      </c>
      <c r="U12" s="39"/>
      <c r="V12" s="39"/>
      <c r="W12" s="39"/>
      <c r="X12" s="39"/>
      <c r="Y12" s="39"/>
    </row>
    <row r="13" spans="1:25" x14ac:dyDescent="0.35">
      <c r="A13" s="30"/>
      <c r="B13" s="27" t="s">
        <v>24</v>
      </c>
      <c r="C13" s="2" t="s">
        <v>25</v>
      </c>
      <c r="D13" s="1" t="s">
        <v>26</v>
      </c>
      <c r="E13" s="1" t="s">
        <v>27</v>
      </c>
      <c r="F13" s="1" t="s">
        <v>28</v>
      </c>
      <c r="G13" s="3" t="s">
        <v>29</v>
      </c>
      <c r="H13" s="4" t="s">
        <v>30</v>
      </c>
      <c r="I13" s="5" t="s">
        <v>25</v>
      </c>
      <c r="J13" s="4" t="s">
        <v>26</v>
      </c>
      <c r="K13" s="4" t="s">
        <v>27</v>
      </c>
      <c r="L13" s="4" t="s">
        <v>28</v>
      </c>
      <c r="M13" s="4" t="s">
        <v>29</v>
      </c>
      <c r="N13" s="6" t="s">
        <v>30</v>
      </c>
      <c r="O13" s="7" t="s">
        <v>25</v>
      </c>
      <c r="P13" s="8" t="s">
        <v>26</v>
      </c>
      <c r="Q13" s="8" t="s">
        <v>27</v>
      </c>
      <c r="R13" s="8" t="s">
        <v>28</v>
      </c>
      <c r="S13" s="8" t="s">
        <v>29</v>
      </c>
      <c r="T13" s="9" t="s">
        <v>30</v>
      </c>
      <c r="U13" s="10" t="s">
        <v>25</v>
      </c>
      <c r="V13" s="9" t="s">
        <v>26</v>
      </c>
      <c r="W13" s="9" t="s">
        <v>27</v>
      </c>
      <c r="X13" s="11" t="s">
        <v>28</v>
      </c>
      <c r="Y13" s="9" t="s">
        <v>29</v>
      </c>
    </row>
    <row r="14" spans="1:25" x14ac:dyDescent="0.35">
      <c r="A14" s="28">
        <v>1</v>
      </c>
      <c r="B14" s="13">
        <v>390</v>
      </c>
      <c r="C14" s="31">
        <v>1.4444444444444444</v>
      </c>
      <c r="D14" s="13">
        <v>63</v>
      </c>
      <c r="E14" s="13">
        <v>34</v>
      </c>
      <c r="F14" s="13">
        <v>222</v>
      </c>
      <c r="G14" s="15">
        <v>1</v>
      </c>
      <c r="H14" s="16">
        <v>356</v>
      </c>
      <c r="I14" s="17">
        <v>0.9442970822281167</v>
      </c>
      <c r="J14" s="16">
        <v>53</v>
      </c>
      <c r="K14" s="16">
        <v>226</v>
      </c>
      <c r="L14" s="16">
        <v>437</v>
      </c>
      <c r="M14" s="15"/>
      <c r="N14" s="16">
        <v>295</v>
      </c>
      <c r="O14" s="17">
        <v>1.0137457044673539</v>
      </c>
      <c r="P14" s="16">
        <v>241</v>
      </c>
      <c r="Q14" s="16">
        <v>22</v>
      </c>
      <c r="R14" s="16">
        <v>47</v>
      </c>
      <c r="S14" s="25"/>
      <c r="T14" s="16">
        <v>353</v>
      </c>
      <c r="U14" s="17">
        <v>1.0762195121951219</v>
      </c>
      <c r="V14" s="16">
        <v>95</v>
      </c>
      <c r="W14" s="16">
        <v>175</v>
      </c>
      <c r="X14" s="16">
        <v>334</v>
      </c>
      <c r="Y14" s="15" t="s">
        <v>31</v>
      </c>
    </row>
    <row r="15" spans="1:25" x14ac:dyDescent="0.35">
      <c r="A15" s="12">
        <v>2</v>
      </c>
      <c r="B15" s="13">
        <v>302</v>
      </c>
      <c r="C15" s="14">
        <v>0.9069069069069069</v>
      </c>
      <c r="D15" s="13">
        <v>191</v>
      </c>
      <c r="E15" s="13">
        <v>1</v>
      </c>
      <c r="F15" s="13">
        <v>350</v>
      </c>
      <c r="G15" s="15"/>
      <c r="H15" s="16">
        <v>347</v>
      </c>
      <c r="I15" s="17">
        <v>0.98300283286118983</v>
      </c>
      <c r="J15" s="16">
        <v>99</v>
      </c>
      <c r="K15" s="16">
        <v>234</v>
      </c>
      <c r="L15" s="16">
        <v>681</v>
      </c>
      <c r="M15" s="15"/>
      <c r="N15" s="16">
        <v>382</v>
      </c>
      <c r="O15" s="17">
        <v>1.4307116104868913</v>
      </c>
      <c r="P15" s="16">
        <v>244</v>
      </c>
      <c r="Q15" s="16">
        <v>224</v>
      </c>
      <c r="R15" s="16">
        <v>9</v>
      </c>
      <c r="S15" s="25"/>
      <c r="T15" s="16">
        <v>280</v>
      </c>
      <c r="U15" s="17">
        <v>0.96219931271477666</v>
      </c>
      <c r="V15" s="16">
        <v>92</v>
      </c>
      <c r="W15" s="16">
        <v>129</v>
      </c>
      <c r="X15" s="16">
        <v>168</v>
      </c>
      <c r="Y15" s="15"/>
    </row>
    <row r="16" spans="1:25" x14ac:dyDescent="0.35">
      <c r="A16" s="12">
        <v>3</v>
      </c>
      <c r="B16" s="13">
        <v>221</v>
      </c>
      <c r="C16" s="14">
        <v>0.62429378531073443</v>
      </c>
      <c r="D16" s="13">
        <v>168</v>
      </c>
      <c r="E16" s="13">
        <v>90</v>
      </c>
      <c r="F16" s="13">
        <v>719</v>
      </c>
      <c r="G16" s="15">
        <v>2</v>
      </c>
      <c r="H16" s="16">
        <v>381</v>
      </c>
      <c r="I16" s="17">
        <v>1.2959183673469388</v>
      </c>
      <c r="J16" s="16">
        <v>78</v>
      </c>
      <c r="K16" s="16">
        <v>255</v>
      </c>
      <c r="L16" s="16">
        <v>0</v>
      </c>
      <c r="M16" s="15" t="s">
        <v>32</v>
      </c>
      <c r="N16" s="16">
        <v>239</v>
      </c>
      <c r="O16" s="17">
        <v>0.61757105943152457</v>
      </c>
      <c r="P16" s="16">
        <v>267</v>
      </c>
      <c r="Q16" s="16">
        <v>285</v>
      </c>
      <c r="R16" s="16">
        <v>32</v>
      </c>
      <c r="S16" s="25"/>
      <c r="T16" s="16">
        <v>341</v>
      </c>
      <c r="U16" s="17">
        <v>0.87886597938144329</v>
      </c>
      <c r="V16" s="16">
        <v>205</v>
      </c>
      <c r="W16" s="16">
        <v>38</v>
      </c>
      <c r="X16" s="16">
        <v>699</v>
      </c>
      <c r="Y16" s="15" t="s">
        <v>33</v>
      </c>
    </row>
    <row r="17" spans="1:25" x14ac:dyDescent="0.35">
      <c r="A17" s="12">
        <v>4</v>
      </c>
      <c r="B17" s="13">
        <v>349</v>
      </c>
      <c r="C17" s="14">
        <v>0.94579945799457998</v>
      </c>
      <c r="D17" s="13">
        <v>154</v>
      </c>
      <c r="E17" s="13">
        <v>286</v>
      </c>
      <c r="F17" s="13">
        <v>809</v>
      </c>
      <c r="G17" s="15">
        <v>2</v>
      </c>
      <c r="H17" s="16">
        <v>373</v>
      </c>
      <c r="I17" s="17">
        <v>1.1803797468354431</v>
      </c>
      <c r="J17" s="16">
        <v>85</v>
      </c>
      <c r="K17" s="16">
        <v>257</v>
      </c>
      <c r="L17" s="16">
        <v>325</v>
      </c>
      <c r="M17" s="25"/>
      <c r="N17" s="16">
        <v>391</v>
      </c>
      <c r="O17" s="17">
        <v>1.0921787709497206</v>
      </c>
      <c r="P17" s="16">
        <v>230</v>
      </c>
      <c r="Q17" s="16">
        <v>252</v>
      </c>
      <c r="R17" s="16">
        <v>568</v>
      </c>
      <c r="S17" s="25"/>
      <c r="T17" s="16">
        <v>279</v>
      </c>
      <c r="U17" s="17">
        <v>0.72279792746113991</v>
      </c>
      <c r="V17" s="16">
        <v>140</v>
      </c>
      <c r="W17" s="16">
        <v>135</v>
      </c>
      <c r="X17" s="16">
        <v>457</v>
      </c>
      <c r="Y17" s="15"/>
    </row>
    <row r="18" spans="1:25" x14ac:dyDescent="0.35">
      <c r="A18" s="12">
        <v>5</v>
      </c>
      <c r="B18" s="13">
        <v>340</v>
      </c>
      <c r="C18" s="14">
        <v>1.1147540983606556</v>
      </c>
      <c r="D18" s="13">
        <v>278</v>
      </c>
      <c r="E18" s="13">
        <v>122</v>
      </c>
      <c r="F18" s="13">
        <v>531</v>
      </c>
      <c r="G18" s="15" t="s">
        <v>34</v>
      </c>
      <c r="H18" s="16">
        <v>217</v>
      </c>
      <c r="I18" s="17">
        <v>0.6823899371069182</v>
      </c>
      <c r="J18" s="16">
        <v>254</v>
      </c>
      <c r="K18" s="16">
        <v>81</v>
      </c>
      <c r="L18" s="16">
        <v>769</v>
      </c>
      <c r="M18" s="25"/>
      <c r="N18" s="16">
        <v>200</v>
      </c>
      <c r="O18" s="17">
        <v>0.63492063492063489</v>
      </c>
      <c r="P18" s="16">
        <v>67</v>
      </c>
      <c r="Q18" s="16">
        <v>194</v>
      </c>
      <c r="R18" s="16">
        <v>581</v>
      </c>
      <c r="S18" s="15"/>
      <c r="T18" s="16">
        <v>370</v>
      </c>
      <c r="U18" s="17">
        <v>1.1858974358974359</v>
      </c>
      <c r="V18" s="16">
        <v>155</v>
      </c>
      <c r="W18" s="16">
        <v>98</v>
      </c>
      <c r="X18" s="16">
        <v>58</v>
      </c>
      <c r="Y18" s="25"/>
    </row>
    <row r="19" spans="1:25" x14ac:dyDescent="0.35">
      <c r="A19" s="12">
        <v>6</v>
      </c>
      <c r="B19" s="13">
        <v>269</v>
      </c>
      <c r="C19" s="14">
        <v>0.73097826086956519</v>
      </c>
      <c r="D19" s="13">
        <v>189</v>
      </c>
      <c r="E19" s="13">
        <v>242</v>
      </c>
      <c r="F19" s="13">
        <v>494</v>
      </c>
      <c r="G19" s="15">
        <v>2</v>
      </c>
      <c r="H19" s="16">
        <v>339</v>
      </c>
      <c r="I19" s="17">
        <v>1.0660377358490567</v>
      </c>
      <c r="J19" s="16">
        <v>230</v>
      </c>
      <c r="K19" s="16">
        <v>126</v>
      </c>
      <c r="L19" s="16">
        <v>545</v>
      </c>
      <c r="M19" s="25"/>
      <c r="N19" s="16">
        <v>223</v>
      </c>
      <c r="O19" s="17">
        <v>0.72402597402597402</v>
      </c>
      <c r="P19" s="16">
        <v>299</v>
      </c>
      <c r="Q19" s="16">
        <v>215</v>
      </c>
      <c r="R19" s="16">
        <v>510</v>
      </c>
      <c r="S19" s="15"/>
      <c r="T19" s="16">
        <v>207</v>
      </c>
      <c r="U19" s="17">
        <v>0.7162629757785467</v>
      </c>
      <c r="V19" s="16">
        <v>80</v>
      </c>
      <c r="W19" s="16">
        <v>108</v>
      </c>
      <c r="X19" s="16">
        <v>35</v>
      </c>
      <c r="Y19" s="15" t="s">
        <v>35</v>
      </c>
    </row>
    <row r="20" spans="1:25" x14ac:dyDescent="0.35">
      <c r="A20" s="12">
        <v>7</v>
      </c>
      <c r="B20" s="13">
        <v>280</v>
      </c>
      <c r="C20" s="14">
        <v>1.0769230769230769</v>
      </c>
      <c r="D20" s="13">
        <v>294</v>
      </c>
      <c r="E20" s="13">
        <v>250</v>
      </c>
      <c r="F20" s="13">
        <v>944</v>
      </c>
      <c r="G20" s="15"/>
      <c r="H20" s="16">
        <v>281</v>
      </c>
      <c r="I20" s="17">
        <v>1.1062992125984252</v>
      </c>
      <c r="J20" s="16">
        <v>195</v>
      </c>
      <c r="K20" s="16">
        <v>172</v>
      </c>
      <c r="L20" s="16">
        <v>785</v>
      </c>
      <c r="M20" s="25"/>
      <c r="N20" s="16">
        <v>374</v>
      </c>
      <c r="O20" s="17">
        <v>1.1065088757396451</v>
      </c>
      <c r="P20" s="16">
        <v>230</v>
      </c>
      <c r="Q20" s="16">
        <v>261</v>
      </c>
      <c r="R20" s="16">
        <v>341</v>
      </c>
      <c r="S20" s="15"/>
      <c r="T20" s="16">
        <v>373</v>
      </c>
      <c r="U20" s="17">
        <v>1.1268882175226587</v>
      </c>
      <c r="V20" s="16">
        <v>228</v>
      </c>
      <c r="W20" s="16">
        <v>293</v>
      </c>
      <c r="X20" s="16">
        <v>920</v>
      </c>
      <c r="Y20" s="15"/>
    </row>
    <row r="21" spans="1:25" x14ac:dyDescent="0.35">
      <c r="A21" s="12">
        <v>8</v>
      </c>
      <c r="B21" s="13">
        <v>243</v>
      </c>
      <c r="C21" s="14">
        <v>0.94921875</v>
      </c>
      <c r="D21" s="13">
        <v>242</v>
      </c>
      <c r="E21" s="13">
        <v>88</v>
      </c>
      <c r="F21" s="13">
        <v>503</v>
      </c>
      <c r="G21" s="25"/>
      <c r="H21" s="16">
        <v>387</v>
      </c>
      <c r="I21" s="17">
        <v>1.3971119133574008</v>
      </c>
      <c r="J21" s="16">
        <v>126</v>
      </c>
      <c r="K21" s="16">
        <v>241</v>
      </c>
      <c r="L21" s="16">
        <v>945</v>
      </c>
      <c r="M21" s="15"/>
      <c r="N21" s="16">
        <v>253</v>
      </c>
      <c r="O21" s="17">
        <v>0.98828125</v>
      </c>
      <c r="P21" s="16">
        <v>109</v>
      </c>
      <c r="Q21" s="16">
        <v>117</v>
      </c>
      <c r="R21" s="16">
        <v>898</v>
      </c>
      <c r="S21" s="15"/>
      <c r="T21" s="16">
        <v>316</v>
      </c>
      <c r="U21" s="17">
        <v>0.96932515337423308</v>
      </c>
      <c r="V21" s="16">
        <v>211</v>
      </c>
      <c r="W21" s="16">
        <v>71</v>
      </c>
      <c r="X21" s="16">
        <v>126</v>
      </c>
      <c r="Y21" s="15"/>
    </row>
    <row r="22" spans="1:25" x14ac:dyDescent="0.35">
      <c r="A22" s="12">
        <v>9</v>
      </c>
      <c r="B22" s="13">
        <v>273</v>
      </c>
      <c r="C22" s="14">
        <v>0.9285714285714286</v>
      </c>
      <c r="D22" s="13">
        <v>85</v>
      </c>
      <c r="E22" s="13">
        <v>185</v>
      </c>
      <c r="F22" s="13">
        <v>891</v>
      </c>
      <c r="G22" s="15">
        <v>1</v>
      </c>
      <c r="H22" s="16">
        <v>278</v>
      </c>
      <c r="I22" s="17">
        <v>1.0610687022900764</v>
      </c>
      <c r="J22" s="16">
        <v>261</v>
      </c>
      <c r="K22" s="16">
        <v>47</v>
      </c>
      <c r="L22" s="16">
        <v>495</v>
      </c>
      <c r="M22" s="15"/>
      <c r="N22" s="16">
        <v>324</v>
      </c>
      <c r="O22" s="17">
        <v>1.0156739811912225</v>
      </c>
      <c r="P22" s="16">
        <v>156</v>
      </c>
      <c r="Q22" s="16">
        <v>48</v>
      </c>
      <c r="R22" s="16">
        <v>703</v>
      </c>
      <c r="S22" s="15">
        <v>17</v>
      </c>
      <c r="T22" s="16">
        <v>376</v>
      </c>
      <c r="U22" s="17">
        <v>0.98947368421052628</v>
      </c>
      <c r="V22" s="16">
        <v>149</v>
      </c>
      <c r="W22" s="16">
        <v>4</v>
      </c>
      <c r="X22" s="16">
        <v>885</v>
      </c>
      <c r="Y22" s="15">
        <v>26</v>
      </c>
    </row>
    <row r="23" spans="1:25" x14ac:dyDescent="0.35">
      <c r="A23" s="12">
        <v>10</v>
      </c>
      <c r="B23" s="18">
        <v>231</v>
      </c>
      <c r="C23" s="19">
        <v>0.74757281553398058</v>
      </c>
      <c r="D23" s="18">
        <v>250</v>
      </c>
      <c r="E23" s="18">
        <v>46</v>
      </c>
      <c r="F23" s="18">
        <v>182</v>
      </c>
      <c r="G23" s="15">
        <v>1</v>
      </c>
      <c r="H23" s="16">
        <v>383</v>
      </c>
      <c r="I23" s="17">
        <v>1.1641337386018238</v>
      </c>
      <c r="J23" s="16">
        <v>59</v>
      </c>
      <c r="K23" s="16">
        <v>99</v>
      </c>
      <c r="L23" s="16">
        <v>331</v>
      </c>
      <c r="M23" s="15">
        <v>12</v>
      </c>
      <c r="N23" s="16">
        <v>285</v>
      </c>
      <c r="O23" s="17">
        <v>0.97938144329896903</v>
      </c>
      <c r="P23" s="16">
        <v>126</v>
      </c>
      <c r="Q23" s="16">
        <v>240</v>
      </c>
      <c r="R23" s="16">
        <v>699</v>
      </c>
      <c r="S23" s="15">
        <v>17</v>
      </c>
      <c r="T23" s="16">
        <v>226</v>
      </c>
      <c r="U23" s="17">
        <v>0.56783919597989951</v>
      </c>
      <c r="V23" s="16">
        <v>68</v>
      </c>
      <c r="W23" s="16">
        <v>277</v>
      </c>
      <c r="X23" s="16">
        <v>599</v>
      </c>
      <c r="Y23" s="15"/>
    </row>
    <row r="24" spans="1:25" x14ac:dyDescent="0.35">
      <c r="A24" s="12">
        <v>11</v>
      </c>
      <c r="B24" s="18">
        <v>347</v>
      </c>
      <c r="C24" s="19">
        <v>1.0087209302325582</v>
      </c>
      <c r="D24" s="18">
        <v>98</v>
      </c>
      <c r="E24" s="18">
        <v>174</v>
      </c>
      <c r="F24" s="18">
        <v>547</v>
      </c>
      <c r="G24" s="25"/>
      <c r="H24" s="16">
        <v>318</v>
      </c>
      <c r="I24" s="17">
        <v>1.1777777777777778</v>
      </c>
      <c r="J24" s="16">
        <v>176</v>
      </c>
      <c r="K24" s="16">
        <v>67</v>
      </c>
      <c r="L24" s="16">
        <v>862</v>
      </c>
      <c r="M24" s="15">
        <v>12</v>
      </c>
      <c r="N24" s="16">
        <v>365</v>
      </c>
      <c r="O24" s="17">
        <v>1.106060606060606</v>
      </c>
      <c r="P24" s="16">
        <v>87</v>
      </c>
      <c r="Q24" s="16">
        <v>288</v>
      </c>
      <c r="R24" s="16">
        <v>104</v>
      </c>
      <c r="S24" s="25"/>
      <c r="T24" s="16">
        <v>395</v>
      </c>
      <c r="U24" s="17">
        <v>1.4575645756457565</v>
      </c>
      <c r="V24" s="16">
        <v>156</v>
      </c>
      <c r="W24" s="16">
        <v>253</v>
      </c>
      <c r="X24" s="16">
        <v>561</v>
      </c>
      <c r="Y24" s="15"/>
    </row>
    <row r="25" spans="1:25" x14ac:dyDescent="0.35">
      <c r="A25" s="12">
        <v>12</v>
      </c>
      <c r="B25" s="18">
        <v>312</v>
      </c>
      <c r="C25" s="19">
        <v>0.82321899736147752</v>
      </c>
      <c r="D25" s="18">
        <v>192</v>
      </c>
      <c r="E25" s="18">
        <v>183</v>
      </c>
      <c r="F25" s="18">
        <v>65</v>
      </c>
      <c r="G25" s="15">
        <v>4</v>
      </c>
      <c r="H25" s="16">
        <v>343</v>
      </c>
      <c r="I25" s="17">
        <v>0.98</v>
      </c>
      <c r="J25" s="16">
        <v>236</v>
      </c>
      <c r="K25" s="16">
        <v>234</v>
      </c>
      <c r="L25" s="16">
        <v>100</v>
      </c>
      <c r="M25" s="15">
        <v>12</v>
      </c>
      <c r="N25" s="16">
        <v>281</v>
      </c>
      <c r="O25" s="17">
        <v>0.86996904024767807</v>
      </c>
      <c r="P25" s="16">
        <v>293</v>
      </c>
      <c r="Q25" s="16">
        <v>10</v>
      </c>
      <c r="R25" s="16">
        <v>577</v>
      </c>
      <c r="S25" s="15"/>
      <c r="T25" s="16">
        <v>244</v>
      </c>
      <c r="U25" s="17">
        <v>0.65591397849462363</v>
      </c>
      <c r="V25" s="16">
        <v>222</v>
      </c>
      <c r="W25" s="16">
        <v>72</v>
      </c>
      <c r="X25" s="16">
        <v>410</v>
      </c>
      <c r="Y25" s="15"/>
    </row>
    <row r="26" spans="1:25" x14ac:dyDescent="0.35">
      <c r="A26" s="12">
        <v>13</v>
      </c>
      <c r="B26" s="18">
        <v>375</v>
      </c>
      <c r="C26" s="19">
        <v>1.0997067448680351</v>
      </c>
      <c r="D26" s="18">
        <v>284</v>
      </c>
      <c r="E26" s="18">
        <v>258</v>
      </c>
      <c r="F26" s="18">
        <v>217</v>
      </c>
      <c r="G26" s="15">
        <v>4</v>
      </c>
      <c r="H26" s="16">
        <v>227</v>
      </c>
      <c r="I26" s="17">
        <v>0.5675</v>
      </c>
      <c r="J26" s="16">
        <v>234</v>
      </c>
      <c r="K26" s="16">
        <v>1</v>
      </c>
      <c r="L26" s="16">
        <v>412</v>
      </c>
      <c r="M26" s="15">
        <v>13</v>
      </c>
      <c r="N26" s="16">
        <v>390</v>
      </c>
      <c r="O26" s="17">
        <v>1.56</v>
      </c>
      <c r="P26" s="16">
        <v>80</v>
      </c>
      <c r="Q26" s="16">
        <v>7</v>
      </c>
      <c r="R26" s="16">
        <v>762</v>
      </c>
      <c r="S26" s="15"/>
      <c r="T26" s="16">
        <v>312</v>
      </c>
      <c r="U26" s="17">
        <v>0.93413173652694614</v>
      </c>
      <c r="V26" s="16">
        <v>89</v>
      </c>
      <c r="W26" s="16">
        <v>190</v>
      </c>
      <c r="X26" s="16">
        <v>836</v>
      </c>
      <c r="Y26" s="15" t="s">
        <v>36</v>
      </c>
    </row>
    <row r="27" spans="1:25" x14ac:dyDescent="0.35">
      <c r="A27" s="12">
        <v>14</v>
      </c>
      <c r="B27" s="16">
        <v>233</v>
      </c>
      <c r="C27" s="17">
        <v>0.74440894568690097</v>
      </c>
      <c r="D27" s="16">
        <v>113</v>
      </c>
      <c r="E27" s="16">
        <v>3</v>
      </c>
      <c r="F27" s="16">
        <v>121</v>
      </c>
      <c r="G27" s="15">
        <v>5</v>
      </c>
      <c r="H27" s="16">
        <v>333</v>
      </c>
      <c r="I27" s="17">
        <v>1.2153284671532847</v>
      </c>
      <c r="J27" s="16">
        <v>148</v>
      </c>
      <c r="K27" s="16">
        <v>17</v>
      </c>
      <c r="L27" s="16">
        <v>181</v>
      </c>
      <c r="M27" s="15">
        <v>14</v>
      </c>
      <c r="N27" s="16">
        <v>294</v>
      </c>
      <c r="O27" s="17">
        <v>0.97674418604651159</v>
      </c>
      <c r="P27" s="16">
        <v>156</v>
      </c>
      <c r="Q27" s="16">
        <v>138</v>
      </c>
      <c r="R27" s="16">
        <v>631</v>
      </c>
      <c r="S27" s="15"/>
      <c r="T27" s="16">
        <v>223</v>
      </c>
      <c r="U27" s="17">
        <v>0.67575757575757578</v>
      </c>
      <c r="V27" s="16">
        <v>152</v>
      </c>
      <c r="W27" s="16">
        <v>186</v>
      </c>
      <c r="X27" s="16">
        <v>694</v>
      </c>
      <c r="Y27" s="15"/>
    </row>
    <row r="28" spans="1:25" x14ac:dyDescent="0.35">
      <c r="A28" s="12">
        <v>15</v>
      </c>
      <c r="B28" s="16">
        <v>280</v>
      </c>
      <c r="C28" s="17">
        <v>0.91803278688524592</v>
      </c>
      <c r="D28" s="16">
        <v>69</v>
      </c>
      <c r="E28" s="16">
        <v>201</v>
      </c>
      <c r="F28" s="16">
        <v>176</v>
      </c>
      <c r="G28" s="15"/>
      <c r="H28" s="16">
        <v>339</v>
      </c>
      <c r="I28" s="17">
        <v>0.89210526315789473</v>
      </c>
      <c r="J28" s="16">
        <v>75</v>
      </c>
      <c r="K28" s="16">
        <v>280</v>
      </c>
      <c r="L28" s="16">
        <v>865</v>
      </c>
      <c r="M28" s="15"/>
      <c r="N28" s="16">
        <v>205</v>
      </c>
      <c r="O28" s="17">
        <v>0.53805774278215224</v>
      </c>
      <c r="P28" s="16">
        <v>132</v>
      </c>
      <c r="Q28" s="16">
        <v>113</v>
      </c>
      <c r="R28" s="16">
        <v>489</v>
      </c>
      <c r="S28" s="15">
        <v>17</v>
      </c>
      <c r="T28" s="16">
        <v>308</v>
      </c>
      <c r="U28" s="17">
        <v>1.1323529411764706</v>
      </c>
      <c r="V28" s="16">
        <v>95</v>
      </c>
      <c r="W28" s="16">
        <v>210</v>
      </c>
      <c r="X28" s="16">
        <v>576</v>
      </c>
      <c r="Y28" s="15"/>
    </row>
    <row r="29" spans="1:25" x14ac:dyDescent="0.35">
      <c r="A29" s="12">
        <v>16</v>
      </c>
      <c r="B29" s="16">
        <v>250</v>
      </c>
      <c r="C29" s="17">
        <v>0.98039215686274506</v>
      </c>
      <c r="D29" s="16">
        <v>167</v>
      </c>
      <c r="E29" s="16">
        <v>39</v>
      </c>
      <c r="F29" s="16">
        <v>736</v>
      </c>
      <c r="G29" s="15"/>
      <c r="H29" s="16">
        <v>347</v>
      </c>
      <c r="I29" s="17">
        <v>1.0116618075801749</v>
      </c>
      <c r="J29" s="16">
        <v>173</v>
      </c>
      <c r="K29" s="16">
        <v>58</v>
      </c>
      <c r="L29" s="16">
        <v>350</v>
      </c>
      <c r="M29" s="15"/>
      <c r="N29" s="16">
        <v>336</v>
      </c>
      <c r="O29" s="17">
        <v>1.3280632411067195</v>
      </c>
      <c r="P29" s="16">
        <v>263</v>
      </c>
      <c r="Q29" s="16">
        <v>167</v>
      </c>
      <c r="R29" s="16">
        <v>571</v>
      </c>
      <c r="S29" s="25"/>
      <c r="T29" s="16">
        <v>368</v>
      </c>
      <c r="U29" s="17">
        <v>1.1017964071856288</v>
      </c>
      <c r="V29" s="16">
        <v>186</v>
      </c>
      <c r="W29" s="16">
        <v>109</v>
      </c>
      <c r="X29" s="16">
        <v>642</v>
      </c>
      <c r="Y29" s="15"/>
    </row>
    <row r="30" spans="1:25" x14ac:dyDescent="0.35">
      <c r="A30" s="12">
        <v>17</v>
      </c>
      <c r="B30" s="16">
        <v>366</v>
      </c>
      <c r="C30" s="17">
        <v>0.93129770992366412</v>
      </c>
      <c r="D30" s="16">
        <v>209</v>
      </c>
      <c r="E30" s="16">
        <v>129</v>
      </c>
      <c r="F30" s="16">
        <v>224</v>
      </c>
      <c r="G30" s="15"/>
      <c r="H30" s="16">
        <v>369</v>
      </c>
      <c r="I30" s="17">
        <v>0.92713567839195976</v>
      </c>
      <c r="J30" s="16">
        <v>98</v>
      </c>
      <c r="K30" s="16">
        <v>32</v>
      </c>
      <c r="L30" s="16">
        <v>707</v>
      </c>
      <c r="M30" s="15"/>
      <c r="N30" s="16">
        <v>263</v>
      </c>
      <c r="O30" s="17">
        <v>0.74928774928774933</v>
      </c>
      <c r="P30" s="16">
        <v>97</v>
      </c>
      <c r="Q30" s="16">
        <v>147</v>
      </c>
      <c r="R30" s="16">
        <v>534</v>
      </c>
      <c r="S30" s="15"/>
      <c r="T30" s="16">
        <v>279</v>
      </c>
      <c r="U30" s="17">
        <v>0.83532934131736525</v>
      </c>
      <c r="V30" s="16">
        <v>256</v>
      </c>
      <c r="W30" s="16">
        <v>221</v>
      </c>
      <c r="X30" s="16">
        <v>620</v>
      </c>
      <c r="Y30" s="15" t="s">
        <v>37</v>
      </c>
    </row>
    <row r="31" spans="1:25" x14ac:dyDescent="0.35">
      <c r="A31" s="12">
        <v>18</v>
      </c>
      <c r="B31" s="16">
        <v>273</v>
      </c>
      <c r="C31" s="17">
        <v>0.72222222222222221</v>
      </c>
      <c r="D31" s="16">
        <v>216</v>
      </c>
      <c r="E31" s="16">
        <v>41</v>
      </c>
      <c r="F31" s="16">
        <v>55</v>
      </c>
      <c r="G31" s="15"/>
      <c r="H31" s="16">
        <v>397</v>
      </c>
      <c r="I31" s="17">
        <v>0.99250000000000005</v>
      </c>
      <c r="J31" s="16">
        <v>124</v>
      </c>
      <c r="K31" s="16">
        <v>69</v>
      </c>
      <c r="L31" s="16">
        <v>135</v>
      </c>
      <c r="M31" s="15">
        <v>15</v>
      </c>
      <c r="N31" s="16">
        <v>333</v>
      </c>
      <c r="O31" s="17">
        <v>1.1326530612244898</v>
      </c>
      <c r="P31" s="16">
        <v>167</v>
      </c>
      <c r="Q31" s="16">
        <v>77</v>
      </c>
      <c r="R31" s="16">
        <v>38</v>
      </c>
      <c r="S31" s="15"/>
      <c r="T31" s="16">
        <v>222</v>
      </c>
      <c r="U31" s="17">
        <v>0.844106463878327</v>
      </c>
      <c r="V31" s="16">
        <v>274</v>
      </c>
      <c r="W31" s="16">
        <v>74</v>
      </c>
      <c r="X31" s="16">
        <v>964</v>
      </c>
      <c r="Y31" s="15" t="s">
        <v>37</v>
      </c>
    </row>
    <row r="32" spans="1:25" x14ac:dyDescent="0.35">
      <c r="A32" s="12">
        <v>19</v>
      </c>
      <c r="B32" s="16">
        <v>322</v>
      </c>
      <c r="C32" s="17">
        <v>0.84736842105263155</v>
      </c>
      <c r="D32" s="16">
        <v>138</v>
      </c>
      <c r="E32" s="16">
        <v>49</v>
      </c>
      <c r="F32" s="16">
        <v>733</v>
      </c>
      <c r="G32" s="25"/>
      <c r="H32" s="16">
        <v>263</v>
      </c>
      <c r="I32" s="17">
        <v>0.98501872659176026</v>
      </c>
      <c r="J32" s="16">
        <v>142</v>
      </c>
      <c r="K32" s="16">
        <v>204</v>
      </c>
      <c r="L32" s="16">
        <v>295</v>
      </c>
      <c r="M32" s="15">
        <v>16</v>
      </c>
      <c r="N32" s="16">
        <v>234</v>
      </c>
      <c r="O32" s="17">
        <v>0.82685512367491165</v>
      </c>
      <c r="P32" s="16">
        <v>87</v>
      </c>
      <c r="Q32" s="16">
        <v>194</v>
      </c>
      <c r="R32" s="16">
        <v>844</v>
      </c>
      <c r="S32" s="15"/>
      <c r="T32" s="16">
        <v>380</v>
      </c>
      <c r="U32" s="17">
        <v>1.2418300653594772</v>
      </c>
      <c r="V32" s="16">
        <v>67</v>
      </c>
      <c r="W32" s="16">
        <v>170</v>
      </c>
      <c r="X32" s="16">
        <v>427</v>
      </c>
      <c r="Y32" s="15" t="s">
        <v>38</v>
      </c>
    </row>
    <row r="33" spans="1:25" x14ac:dyDescent="0.35">
      <c r="A33" s="12">
        <v>20</v>
      </c>
      <c r="B33" s="16">
        <v>292</v>
      </c>
      <c r="C33" s="17">
        <v>1.0465949820788532</v>
      </c>
      <c r="D33" s="16">
        <v>204</v>
      </c>
      <c r="E33" s="16">
        <v>129</v>
      </c>
      <c r="F33" s="16">
        <v>198</v>
      </c>
      <c r="G33" s="25"/>
      <c r="H33" s="16">
        <v>243</v>
      </c>
      <c r="I33" s="17">
        <v>0.78896103896103897</v>
      </c>
      <c r="J33" s="16">
        <v>211</v>
      </c>
      <c r="K33" s="16">
        <v>282</v>
      </c>
      <c r="L33" s="16">
        <v>605</v>
      </c>
      <c r="M33" s="15">
        <v>16</v>
      </c>
      <c r="N33" s="16">
        <v>348</v>
      </c>
      <c r="O33" s="17">
        <v>0.95604395604395609</v>
      </c>
      <c r="P33" s="16">
        <v>158</v>
      </c>
      <c r="Q33" s="16">
        <v>196</v>
      </c>
      <c r="R33" s="16">
        <v>216</v>
      </c>
      <c r="S33" s="15"/>
      <c r="T33" s="16">
        <v>304</v>
      </c>
      <c r="U33" s="17">
        <v>1.1782945736434109</v>
      </c>
      <c r="V33" s="16">
        <v>181</v>
      </c>
      <c r="W33" s="16">
        <v>250</v>
      </c>
      <c r="X33" s="16">
        <v>314</v>
      </c>
      <c r="Y33" s="25"/>
    </row>
    <row r="34" spans="1:25" x14ac:dyDescent="0.35">
      <c r="A34" s="12">
        <v>21</v>
      </c>
      <c r="B34" s="16">
        <v>353</v>
      </c>
      <c r="C34" s="17">
        <v>0.92167101827676245</v>
      </c>
      <c r="D34" s="16">
        <v>152</v>
      </c>
      <c r="E34" s="16">
        <v>147</v>
      </c>
      <c r="F34" s="16">
        <v>517</v>
      </c>
      <c r="G34" s="25"/>
      <c r="H34" s="16">
        <v>271</v>
      </c>
      <c r="I34" s="17">
        <v>0.86305732484076436</v>
      </c>
      <c r="J34" s="16">
        <v>193</v>
      </c>
      <c r="K34" s="16">
        <v>264</v>
      </c>
      <c r="L34" s="16">
        <v>312</v>
      </c>
      <c r="M34" s="15">
        <v>16</v>
      </c>
      <c r="N34" s="16">
        <v>276</v>
      </c>
      <c r="O34" s="17">
        <v>0.94845360824742264</v>
      </c>
      <c r="P34" s="16">
        <v>235</v>
      </c>
      <c r="Q34" s="16">
        <v>90</v>
      </c>
      <c r="R34" s="16">
        <v>972</v>
      </c>
      <c r="S34" s="15"/>
      <c r="T34" s="16">
        <v>254</v>
      </c>
      <c r="U34" s="17">
        <v>0.74926253687315636</v>
      </c>
      <c r="V34" s="16">
        <v>170</v>
      </c>
      <c r="W34" s="16">
        <v>49</v>
      </c>
      <c r="X34" s="16">
        <v>136</v>
      </c>
      <c r="Y34" s="15" t="s">
        <v>39</v>
      </c>
    </row>
    <row r="35" spans="1:25" x14ac:dyDescent="0.35">
      <c r="A35" s="12">
        <v>22</v>
      </c>
      <c r="B35" s="16">
        <v>212</v>
      </c>
      <c r="C35" s="17">
        <v>0.56533333333333335</v>
      </c>
      <c r="D35" s="16">
        <v>163</v>
      </c>
      <c r="E35" s="16">
        <v>62</v>
      </c>
      <c r="F35" s="16">
        <v>278</v>
      </c>
      <c r="G35" s="15" t="s">
        <v>40</v>
      </c>
      <c r="H35" s="16">
        <v>308</v>
      </c>
      <c r="I35" s="17">
        <v>0.88252148997134672</v>
      </c>
      <c r="J35" s="16">
        <v>126</v>
      </c>
      <c r="K35" s="16">
        <v>287</v>
      </c>
      <c r="L35" s="16">
        <v>748</v>
      </c>
      <c r="M35" s="25"/>
      <c r="N35" s="16">
        <v>383</v>
      </c>
      <c r="O35" s="17">
        <v>1.2766666666666666</v>
      </c>
      <c r="P35" s="16">
        <v>185</v>
      </c>
      <c r="Q35" s="16">
        <v>200</v>
      </c>
      <c r="R35" s="16">
        <v>61</v>
      </c>
      <c r="S35" s="15"/>
      <c r="T35" s="16">
        <v>259</v>
      </c>
      <c r="U35" s="17">
        <v>0.89930555555555558</v>
      </c>
      <c r="V35" s="16">
        <v>284</v>
      </c>
      <c r="W35" s="16">
        <v>202</v>
      </c>
      <c r="X35" s="16">
        <v>896</v>
      </c>
      <c r="Y35" s="15"/>
    </row>
    <row r="36" spans="1:25" x14ac:dyDescent="0.35">
      <c r="A36" s="12">
        <v>23</v>
      </c>
      <c r="B36" s="16">
        <v>266</v>
      </c>
      <c r="C36" s="17">
        <v>0.89261744966442957</v>
      </c>
      <c r="D36" s="16">
        <v>87</v>
      </c>
      <c r="E36" s="16">
        <v>224</v>
      </c>
      <c r="F36" s="16">
        <v>696</v>
      </c>
      <c r="G36" s="15" t="s">
        <v>41</v>
      </c>
      <c r="H36" s="16">
        <v>389</v>
      </c>
      <c r="I36" s="17">
        <v>1</v>
      </c>
      <c r="J36" s="16">
        <v>137</v>
      </c>
      <c r="K36" s="16">
        <v>176</v>
      </c>
      <c r="L36" s="16">
        <v>147</v>
      </c>
      <c r="M36" s="15">
        <v>16</v>
      </c>
      <c r="N36" s="16">
        <v>301</v>
      </c>
      <c r="O36" s="17">
        <v>0.75818639798488663</v>
      </c>
      <c r="P36" s="16">
        <v>233</v>
      </c>
      <c r="Q36" s="16">
        <v>105</v>
      </c>
      <c r="R36" s="16">
        <v>75</v>
      </c>
      <c r="S36" s="15"/>
      <c r="T36" s="16">
        <v>281</v>
      </c>
      <c r="U36" s="17">
        <v>0.76775956284153002</v>
      </c>
      <c r="V36" s="16">
        <v>294</v>
      </c>
      <c r="W36" s="16">
        <v>183</v>
      </c>
      <c r="X36" s="16">
        <v>704</v>
      </c>
      <c r="Y36" s="15"/>
    </row>
    <row r="37" spans="1:25" x14ac:dyDescent="0.35">
      <c r="A37" s="12">
        <v>24</v>
      </c>
      <c r="B37" s="16">
        <v>334</v>
      </c>
      <c r="C37" s="17">
        <v>1.1597222222222223</v>
      </c>
      <c r="D37" s="16">
        <v>210</v>
      </c>
      <c r="E37" s="16">
        <v>245</v>
      </c>
      <c r="F37" s="16">
        <v>828</v>
      </c>
      <c r="G37" s="15" t="s">
        <v>42</v>
      </c>
      <c r="H37" s="16">
        <v>224</v>
      </c>
      <c r="I37" s="17">
        <v>0.88888888888888884</v>
      </c>
      <c r="J37" s="16">
        <v>270</v>
      </c>
      <c r="K37" s="16">
        <v>245</v>
      </c>
      <c r="L37" s="16">
        <v>5</v>
      </c>
      <c r="M37" s="15">
        <v>16</v>
      </c>
      <c r="N37" s="16">
        <v>347</v>
      </c>
      <c r="O37" s="17">
        <v>1.3295019157088122</v>
      </c>
      <c r="P37" s="16">
        <v>276</v>
      </c>
      <c r="Q37" s="16">
        <v>191</v>
      </c>
      <c r="R37" s="16">
        <v>42</v>
      </c>
      <c r="S37" s="15"/>
      <c r="T37" s="16">
        <v>383</v>
      </c>
      <c r="U37" s="17">
        <v>1.2983050847457627</v>
      </c>
      <c r="V37" s="16">
        <v>259</v>
      </c>
      <c r="W37" s="16">
        <v>287</v>
      </c>
      <c r="X37" s="16">
        <v>866</v>
      </c>
      <c r="Y37" s="15">
        <v>31</v>
      </c>
    </row>
    <row r="38" spans="1:25" x14ac:dyDescent="0.35">
      <c r="A38" s="12">
        <v>25</v>
      </c>
      <c r="B38" s="16">
        <v>224</v>
      </c>
      <c r="C38" s="17">
        <v>0.61035422343324253</v>
      </c>
      <c r="D38" s="16">
        <v>110</v>
      </c>
      <c r="E38" s="16">
        <v>225</v>
      </c>
      <c r="F38" s="16">
        <v>685</v>
      </c>
      <c r="G38" s="15" t="s">
        <v>42</v>
      </c>
      <c r="H38" s="16">
        <v>216</v>
      </c>
      <c r="I38" s="17">
        <v>0.67080745341614911</v>
      </c>
      <c r="J38" s="16">
        <v>241</v>
      </c>
      <c r="K38" s="16">
        <v>33</v>
      </c>
      <c r="L38" s="16">
        <v>488</v>
      </c>
      <c r="M38" s="15">
        <v>16</v>
      </c>
      <c r="N38" s="16">
        <v>325</v>
      </c>
      <c r="O38" s="17">
        <v>1.0317460317460319</v>
      </c>
      <c r="P38" s="16">
        <v>286</v>
      </c>
      <c r="Q38" s="16">
        <v>117</v>
      </c>
      <c r="R38" s="16">
        <v>486</v>
      </c>
      <c r="S38" s="15"/>
      <c r="T38" s="16">
        <v>257</v>
      </c>
      <c r="U38" s="17">
        <v>0.98467432950191569</v>
      </c>
      <c r="V38" s="16">
        <v>287</v>
      </c>
      <c r="W38" s="16">
        <v>157</v>
      </c>
      <c r="X38" s="16">
        <v>776</v>
      </c>
      <c r="Y38" s="25"/>
    </row>
    <row r="39" spans="1:25" x14ac:dyDescent="0.35">
      <c r="A39" s="12">
        <v>26</v>
      </c>
      <c r="B39" s="16">
        <v>252</v>
      </c>
      <c r="C39" s="17">
        <v>0.85423728813559319</v>
      </c>
      <c r="D39" s="16">
        <v>177</v>
      </c>
      <c r="E39" s="16">
        <v>220</v>
      </c>
      <c r="F39" s="16">
        <v>371</v>
      </c>
      <c r="G39" s="25"/>
      <c r="H39" s="16">
        <v>375</v>
      </c>
      <c r="I39" s="17">
        <v>0.98167539267015702</v>
      </c>
      <c r="J39" s="16">
        <v>216</v>
      </c>
      <c r="K39" s="16">
        <v>299</v>
      </c>
      <c r="L39" s="16">
        <v>313</v>
      </c>
      <c r="M39" s="15">
        <v>16</v>
      </c>
      <c r="N39" s="16">
        <v>384</v>
      </c>
      <c r="O39" s="17">
        <v>1.1815384615384616</v>
      </c>
      <c r="P39" s="16">
        <v>56</v>
      </c>
      <c r="Q39" s="16">
        <v>20</v>
      </c>
      <c r="R39" s="16">
        <v>360</v>
      </c>
      <c r="S39" s="15">
        <v>18</v>
      </c>
      <c r="T39" s="16">
        <v>378</v>
      </c>
      <c r="U39" s="17">
        <v>1.0470914127423823</v>
      </c>
      <c r="V39" s="16">
        <v>216</v>
      </c>
      <c r="W39" s="16">
        <v>146</v>
      </c>
      <c r="X39" s="16">
        <v>862</v>
      </c>
      <c r="Y39" s="15" t="s">
        <v>43</v>
      </c>
    </row>
    <row r="40" spans="1:25" x14ac:dyDescent="0.35">
      <c r="A40" s="12">
        <v>27</v>
      </c>
      <c r="B40" s="16">
        <v>336</v>
      </c>
      <c r="C40" s="17">
        <v>0.9438202247191011</v>
      </c>
      <c r="D40" s="16">
        <v>243</v>
      </c>
      <c r="E40" s="16">
        <v>279</v>
      </c>
      <c r="F40" s="16">
        <v>584</v>
      </c>
      <c r="G40" s="15" t="s">
        <v>42</v>
      </c>
      <c r="H40" s="16">
        <v>277</v>
      </c>
      <c r="I40" s="17">
        <v>0.84709480122324154</v>
      </c>
      <c r="J40" s="16">
        <v>148</v>
      </c>
      <c r="K40" s="16">
        <v>110</v>
      </c>
      <c r="L40" s="16">
        <v>619</v>
      </c>
      <c r="M40" s="15">
        <v>16</v>
      </c>
      <c r="N40" s="16">
        <v>370</v>
      </c>
      <c r="O40" s="17">
        <v>1.4122137404580153</v>
      </c>
      <c r="P40" s="16">
        <v>223</v>
      </c>
      <c r="Q40" s="16">
        <v>164</v>
      </c>
      <c r="R40" s="16">
        <v>950</v>
      </c>
      <c r="S40" s="15"/>
      <c r="T40" s="16">
        <v>344</v>
      </c>
      <c r="U40" s="17">
        <v>0.88431876606683801</v>
      </c>
      <c r="V40" s="16">
        <v>192</v>
      </c>
      <c r="W40" s="16">
        <v>281</v>
      </c>
      <c r="X40" s="16">
        <v>716</v>
      </c>
      <c r="Y40" s="15"/>
    </row>
    <row r="41" spans="1:25" x14ac:dyDescent="0.35">
      <c r="A41" s="12">
        <v>28</v>
      </c>
      <c r="B41" s="16">
        <v>376</v>
      </c>
      <c r="C41" s="17">
        <v>1.3333333333333333</v>
      </c>
      <c r="D41" s="16">
        <v>213</v>
      </c>
      <c r="E41" s="16">
        <v>163</v>
      </c>
      <c r="F41" s="16">
        <v>298</v>
      </c>
      <c r="G41" s="15"/>
      <c r="H41" s="16">
        <v>200</v>
      </c>
      <c r="I41" s="17">
        <v>0.54347826086956519</v>
      </c>
      <c r="J41" s="16">
        <v>193</v>
      </c>
      <c r="K41" s="16">
        <v>264</v>
      </c>
      <c r="L41" s="16">
        <v>323</v>
      </c>
      <c r="M41" s="15"/>
      <c r="N41" s="16">
        <v>262</v>
      </c>
      <c r="O41" s="17">
        <v>1.0234375</v>
      </c>
      <c r="P41" s="16">
        <v>274</v>
      </c>
      <c r="Q41" s="16">
        <v>49</v>
      </c>
      <c r="R41" s="16">
        <v>561</v>
      </c>
      <c r="S41" s="15"/>
      <c r="T41" s="16">
        <v>220</v>
      </c>
      <c r="U41" s="17">
        <v>0.73089700996677742</v>
      </c>
      <c r="V41" s="16">
        <v>220</v>
      </c>
      <c r="W41" s="16">
        <v>192</v>
      </c>
      <c r="X41" s="16">
        <v>984</v>
      </c>
      <c r="Y41" s="15"/>
    </row>
    <row r="42" spans="1:25" x14ac:dyDescent="0.35">
      <c r="A42" s="12">
        <v>29</v>
      </c>
      <c r="B42" s="16">
        <v>285</v>
      </c>
      <c r="C42" s="17">
        <v>0.87155963302752293</v>
      </c>
      <c r="D42" s="16">
        <v>205</v>
      </c>
      <c r="E42" s="16">
        <v>30</v>
      </c>
      <c r="F42" s="16">
        <v>995</v>
      </c>
      <c r="G42" s="15" t="s">
        <v>42</v>
      </c>
      <c r="H42" s="16"/>
      <c r="I42" s="17"/>
      <c r="J42" s="16"/>
      <c r="K42" s="16"/>
      <c r="L42" s="16"/>
      <c r="M42" s="15"/>
      <c r="N42" s="16">
        <v>221</v>
      </c>
      <c r="O42" s="17">
        <v>0.62784090909090906</v>
      </c>
      <c r="P42" s="16">
        <v>130</v>
      </c>
      <c r="Q42" s="16">
        <v>219</v>
      </c>
      <c r="R42" s="16">
        <v>176</v>
      </c>
      <c r="S42" s="15"/>
      <c r="T42" s="16">
        <v>257</v>
      </c>
      <c r="U42" s="17">
        <v>0.90812720848056538</v>
      </c>
      <c r="V42" s="16">
        <v>74</v>
      </c>
      <c r="W42" s="16">
        <v>22</v>
      </c>
      <c r="X42" s="16">
        <v>892</v>
      </c>
      <c r="Y42" s="25"/>
    </row>
    <row r="43" spans="1:25" x14ac:dyDescent="0.35">
      <c r="A43" s="12">
        <v>30</v>
      </c>
      <c r="B43" s="16">
        <v>250</v>
      </c>
      <c r="C43" s="17">
        <v>0.75757575757575757</v>
      </c>
      <c r="D43" s="16">
        <v>122</v>
      </c>
      <c r="E43" s="16">
        <v>203</v>
      </c>
      <c r="F43" s="16">
        <v>222</v>
      </c>
      <c r="G43" s="25"/>
      <c r="H43" s="16"/>
      <c r="I43" s="17"/>
      <c r="J43" s="16"/>
      <c r="K43" s="16"/>
      <c r="L43" s="16"/>
      <c r="M43" s="15"/>
      <c r="N43" s="16">
        <v>361</v>
      </c>
      <c r="O43" s="17">
        <v>0.90931989924433254</v>
      </c>
      <c r="P43" s="16">
        <v>161</v>
      </c>
      <c r="Q43" s="16">
        <v>126</v>
      </c>
      <c r="R43" s="16">
        <v>849</v>
      </c>
      <c r="S43" s="15"/>
      <c r="T43" s="16">
        <v>296</v>
      </c>
      <c r="U43" s="17">
        <v>0.75126903553299496</v>
      </c>
      <c r="V43" s="16">
        <v>86</v>
      </c>
      <c r="W43" s="16">
        <v>98</v>
      </c>
      <c r="X43" s="16">
        <v>209</v>
      </c>
      <c r="Y43" s="15" t="s">
        <v>43</v>
      </c>
    </row>
    <row r="44" spans="1:25" x14ac:dyDescent="0.35">
      <c r="A44" s="12">
        <v>31</v>
      </c>
      <c r="B44" s="16">
        <v>258</v>
      </c>
      <c r="C44" s="17">
        <v>0.92473118279569888</v>
      </c>
      <c r="D44" s="16">
        <v>88</v>
      </c>
      <c r="E44" s="16">
        <v>120</v>
      </c>
      <c r="F44" s="16">
        <v>324</v>
      </c>
      <c r="G44" s="26">
        <v>10</v>
      </c>
      <c r="H44" s="16"/>
      <c r="I44" s="17"/>
      <c r="J44" s="16"/>
      <c r="K44" s="16"/>
      <c r="L44" s="16"/>
      <c r="M44" s="15"/>
      <c r="N44" s="16">
        <v>237</v>
      </c>
      <c r="O44" s="17">
        <v>0.6171875</v>
      </c>
      <c r="P44" s="16">
        <v>113</v>
      </c>
      <c r="Q44" s="16">
        <v>46</v>
      </c>
      <c r="R44" s="16">
        <v>903</v>
      </c>
      <c r="S44" s="15"/>
      <c r="T44" s="16"/>
      <c r="U44" s="17"/>
      <c r="V44" s="16"/>
      <c r="W44" s="16"/>
      <c r="X44" s="16"/>
      <c r="Y44" s="15"/>
    </row>
    <row r="45" spans="1:25" x14ac:dyDescent="0.35">
      <c r="A45" s="20" t="s">
        <v>44</v>
      </c>
      <c r="B45" s="21">
        <f>AVERAGE(B14:B44)</f>
        <v>293.35483870967744</v>
      </c>
      <c r="C45" s="22">
        <f>AVERAGE(C14:C44)</f>
        <v>0.91698008350344196</v>
      </c>
      <c r="D45" s="23">
        <f>AVERAGE(D14:D44)</f>
        <v>173.35483870967741</v>
      </c>
      <c r="E45" s="23">
        <f>AVERAGE(E14:E44)</f>
        <v>144.12903225806451</v>
      </c>
      <c r="F45" s="23">
        <f>AVERAGE(F14:F44)</f>
        <v>468.22580645161293</v>
      </c>
      <c r="G45" s="23"/>
      <c r="H45" s="24">
        <f>AVERAGE(H14:H44)</f>
        <v>313.60714285714283</v>
      </c>
      <c r="I45" s="22">
        <f>AVERAGE(I14:I44)</f>
        <v>0.96771970144890684</v>
      </c>
      <c r="J45" s="23">
        <f>AVERAGE(J14:J44)</f>
        <v>163.60714285714286</v>
      </c>
      <c r="K45" s="23">
        <f>AVERAGE(K14:K44)</f>
        <v>166.42857142857142</v>
      </c>
      <c r="L45" s="23">
        <f>AVERAGE(L14:L44)</f>
        <v>456.42857142857144</v>
      </c>
      <c r="M45" s="23"/>
      <c r="N45" s="24">
        <f>AVERAGE(N14:N44)</f>
        <v>305.87096774193549</v>
      </c>
      <c r="O45" s="22">
        <f>AVERAGE(O14:O44)</f>
        <v>0.99234924650555656</v>
      </c>
      <c r="P45" s="23">
        <f>AVERAGE(P14:P44)</f>
        <v>182.61290322580646</v>
      </c>
      <c r="Q45" s="23">
        <f>AVERAGE(Q14:Q44)</f>
        <v>145.87096774193549</v>
      </c>
      <c r="R45" s="23">
        <f>AVERAGE(R14:R44)</f>
        <v>470.61290322580646</v>
      </c>
      <c r="S45" s="23"/>
      <c r="T45" s="24">
        <f>AVERAGE(T14:T44)</f>
        <v>302.83333333333331</v>
      </c>
      <c r="U45" s="22">
        <f>AVERAGE(U14:U44)</f>
        <v>0.94246191852696148</v>
      </c>
      <c r="V45" s="23">
        <f>AVERAGE(V14:V44)</f>
        <v>172.76666666666668</v>
      </c>
      <c r="W45" s="23">
        <f>AVERAGE(W14:W44)</f>
        <v>156</v>
      </c>
      <c r="X45" s="23">
        <f>AVERAGE(X14:X44)</f>
        <v>578.86666666666667</v>
      </c>
      <c r="Y45" s="23"/>
    </row>
  </sheetData>
  <mergeCells count="10">
    <mergeCell ref="B12:G12"/>
    <mergeCell ref="H12:M12"/>
    <mergeCell ref="N12:S12"/>
    <mergeCell ref="T12:Y12"/>
    <mergeCell ref="E5:K5"/>
    <mergeCell ref="E6:K6"/>
    <mergeCell ref="E7:K7"/>
    <mergeCell ref="E8:K8"/>
    <mergeCell ref="E9:K9"/>
    <mergeCell ref="E10:K10"/>
  </mergeCells>
  <conditionalFormatting sqref="D44">
    <cfRule type="cellIs" dxfId="15" priority="4" operator="greaterThan">
      <formula>280</formula>
    </cfRule>
    <cfRule type="cellIs" dxfId="14" priority="5" operator="lessThan">
      <formula>280</formula>
    </cfRule>
    <cfRule type="cellIs" priority="6" operator="equal">
      <formula>280</formula>
    </cfRule>
  </conditionalFormatting>
  <conditionalFormatting sqref="H14:H44 T14:T44 B27:B44">
    <cfRule type="cellIs" dxfId="13" priority="13" operator="greaterThan">
      <formula>700</formula>
    </cfRule>
    <cfRule type="cellIs" dxfId="12" priority="14" operator="lessThan">
      <formula>700</formula>
    </cfRule>
    <cfRule type="cellIs" priority="15" operator="equal">
      <formula>700</formula>
    </cfRule>
  </conditionalFormatting>
  <conditionalFormatting sqref="I14:I44 O14:O44 U14:U44 C27:C44">
    <cfRule type="cellIs" dxfId="11" priority="7" operator="greaterThan">
      <formula>4</formula>
    </cfRule>
    <cfRule type="cellIs" dxfId="10" priority="8" operator="lessThan">
      <formula>4</formula>
    </cfRule>
    <cfRule type="cellIs" priority="9" operator="equal">
      <formula>4</formula>
    </cfRule>
  </conditionalFormatting>
  <conditionalFormatting sqref="J14:J15">
    <cfRule type="cellIs" dxfId="9" priority="19" operator="greaterThan">
      <formula>280</formula>
    </cfRule>
    <cfRule type="cellIs" dxfId="8" priority="20" operator="lessThan">
      <formula>280</formula>
    </cfRule>
    <cfRule type="cellIs" priority="21" operator="equal">
      <formula>280</formula>
    </cfRule>
  </conditionalFormatting>
  <conditionalFormatting sqref="K14:K44 Q14:Q44 W14:W44 E27:E44">
    <cfRule type="cellIs" dxfId="7" priority="16" operator="greaterThan">
      <formula>91</formula>
    </cfRule>
    <cfRule type="cellIs" dxfId="6" priority="17" operator="lessThan">
      <formula>91</formula>
    </cfRule>
    <cfRule type="cellIs" priority="18" operator="equal">
      <formula>91</formula>
    </cfRule>
  </conditionalFormatting>
  <conditionalFormatting sqref="L14:L44 F27:F44">
    <cfRule type="cellIs" dxfId="5" priority="10" operator="greaterThan">
      <formula>800</formula>
    </cfRule>
    <cfRule type="cellIs" dxfId="4" priority="11" operator="lessThan">
      <formula>800</formula>
    </cfRule>
    <cfRule type="cellIs" priority="12" operator="equal">
      <formula>800</formula>
    </cfRule>
  </conditionalFormatting>
  <conditionalFormatting sqref="N14:N44">
    <cfRule type="cellIs" priority="22" operator="equal">
      <formula>700</formula>
    </cfRule>
  </conditionalFormatting>
  <conditionalFormatting sqref="P14:P44 V14:V44 J16:J44 D27:D43">
    <cfRule type="cellIs" dxfId="3" priority="1" operator="greaterThan">
      <formula>330</formula>
    </cfRule>
    <cfRule type="cellIs" dxfId="2" priority="2" operator="lessThan">
      <formula>330</formula>
    </cfRule>
    <cfRule type="cellIs" priority="3" operator="equal">
      <formula>330</formula>
    </cfRule>
  </conditionalFormatting>
  <conditionalFormatting sqref="R14:R44 X14:X44">
    <cfRule type="cellIs" dxfId="1" priority="23" operator="lessThan">
      <formula>800</formula>
    </cfRule>
    <cfRule type="cellIs" priority="24" operator="equal">
      <formula>800</formula>
    </cfRule>
    <cfRule type="cellIs" dxfId="0" priority="25" operator="greaterThan">
      <formula>800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3B003608650142BB789A71C1589AF1" ma:contentTypeVersion="14" ma:contentTypeDescription="Create a new document." ma:contentTypeScope="" ma:versionID="39417709aaf82f6125397836122dca2a">
  <xsd:schema xmlns:xsd="http://www.w3.org/2001/XMLSchema" xmlns:xs="http://www.w3.org/2001/XMLSchema" xmlns:p="http://schemas.microsoft.com/office/2006/metadata/properties" xmlns:ns2="f7a62c2e-46aa-4f9b-b62f-a57a98c6448c" xmlns:ns3="2cae789d-29a8-428a-85df-45f370ab2d95" targetNamespace="http://schemas.microsoft.com/office/2006/metadata/properties" ma:root="true" ma:fieldsID="3c8cdf3815471a023aa3938976c18b5a" ns2:_="" ns3:_="">
    <xsd:import namespace="f7a62c2e-46aa-4f9b-b62f-a57a98c6448c"/>
    <xsd:import namespace="2cae789d-29a8-428a-85df-45f370ab2d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a62c2e-46aa-4f9b-b62f-a57a98c644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1fd9b19-8475-4ec7-a5eb-8b090ac94c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ae789d-29a8-428a-85df-45f370ab2d9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76cf995-07ec-414d-a51e-5a1a61baa4dd}" ma:internalName="TaxCatchAll" ma:showField="CatchAllData" ma:web="2cae789d-29a8-428a-85df-45f370ab2d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ae789d-29a8-428a-85df-45f370ab2d95" xsi:nil="true"/>
    <lcf76f155ced4ddcb4097134ff3c332f xmlns="f7a62c2e-46aa-4f9b-b62f-a57a98c6448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583C70-258A-4292-85E4-B2373DE96439}"/>
</file>

<file path=customXml/itemProps2.xml><?xml version="1.0" encoding="utf-8"?>
<ds:datastoreItem xmlns:ds="http://schemas.openxmlformats.org/officeDocument/2006/customXml" ds:itemID="{C17EC875-B359-49C6-8487-085B869F05AB}">
  <ds:schemaRefs>
    <ds:schemaRef ds:uri="http://schemas.microsoft.com/office/2006/metadata/properties"/>
    <ds:schemaRef ds:uri="f7a62c2e-46aa-4f9b-b62f-a57a98c6448c"/>
    <ds:schemaRef ds:uri="http://purl.org/dc/dcmitype/"/>
    <ds:schemaRef ds:uri="http://purl.org/dc/elements/1.1/"/>
    <ds:schemaRef ds:uri="2cae789d-29a8-428a-85df-45f370ab2d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169E694-E26E-4936-A8EE-347FFC423B3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03b7ea5-365c-4a0f-b767-955babc64911}" enabled="0" method="" siteId="{c03b7ea5-365c-4a0f-b767-955babc649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Jirapat Wisawanart</dc:creator>
  <cp:keywords/>
  <dc:description/>
  <cp:lastModifiedBy>Pongpanich Tinnarat</cp:lastModifiedBy>
  <cp:revision/>
  <dcterms:created xsi:type="dcterms:W3CDTF">2025-12-30T08:43:31Z</dcterms:created>
  <dcterms:modified xsi:type="dcterms:W3CDTF">2026-01-13T15:11:13Z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0x010100213B003608650142BB789A71C1589AF1</vt:lpwstr>
  </property>
  <property fmtid="{D5CDD505-2E9C-101B-9397-08002B2CF9AE}" pid="3" name="MediaServiceImageTags">
    <vt:lpwstr/>
  </property>
</Properties>
</file>